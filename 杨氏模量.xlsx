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Coding\Repos\fuck-UPE\大物实验\数据处理-保护branch\"/>
    </mc:Choice>
  </mc:AlternateContent>
  <xr:revisionPtr revIDLastSave="0" documentId="13_ncr:1_{55806433-A3C4-44A1-BED5-DB4E03866BB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4" i="1" l="1"/>
  <c r="F20" i="1"/>
  <c r="B20" i="1" l="1"/>
  <c r="C34" i="1"/>
  <c r="H27" i="1"/>
  <c r="I27" i="1"/>
  <c r="K27" i="1"/>
  <c r="D20" i="1"/>
  <c r="C20" i="1"/>
  <c r="C27" i="1"/>
  <c r="D27" i="1"/>
  <c r="E27" i="1"/>
  <c r="F27" i="1"/>
  <c r="G27" i="1"/>
  <c r="B27" i="1"/>
  <c r="B31" i="1" l="1"/>
  <c r="F31" i="1"/>
  <c r="D31" i="1"/>
  <c r="C31" i="1"/>
  <c r="E20" i="1"/>
  <c r="G20" i="1" s="1"/>
  <c r="J27" i="1" l="1"/>
  <c r="E31" i="1" s="1"/>
  <c r="B34" i="1" l="1"/>
  <c r="B38" i="1" s="1"/>
  <c r="D34" i="1"/>
  <c r="E34" i="1" s="1"/>
  <c r="G34" i="1" s="1"/>
  <c r="D38" i="1" l="1"/>
</calcChain>
</file>

<file path=xl/sharedStrings.xml><?xml version="1.0" encoding="utf-8"?>
<sst xmlns="http://schemas.openxmlformats.org/spreadsheetml/2006/main" count="73" uniqueCount="66">
  <si>
    <t>2.杨氏模量的测量</t>
  </si>
  <si>
    <t>（1）放上一个砝码，记下初始读数，每次增加一个砝码，记下相应的读数</t>
  </si>
  <si>
    <t>砝码/kg</t>
  </si>
  <si>
    <t>n0</t>
  </si>
  <si>
    <t>n1</t>
  </si>
  <si>
    <t>n2</t>
  </si>
  <si>
    <t>n3</t>
  </si>
  <si>
    <t>n4</t>
  </si>
  <si>
    <t>n5</t>
  </si>
  <si>
    <t>增加ni/cm</t>
  </si>
  <si>
    <t>减少ni/cm</t>
  </si>
  <si>
    <t>平均ni/cm</t>
  </si>
  <si>
    <t>±</t>
  </si>
  <si>
    <t>±</t>
    <phoneticPr fontId="1" type="noConversion"/>
  </si>
  <si>
    <t>D1</t>
    <phoneticPr fontId="1" type="noConversion"/>
  </si>
  <si>
    <t>D2</t>
  </si>
  <si>
    <t>D3</t>
  </si>
  <si>
    <t>D4</t>
  </si>
  <si>
    <t>D5</t>
  </si>
  <si>
    <t>D6</t>
  </si>
  <si>
    <t>测量次数</t>
    <phoneticPr fontId="1" type="noConversion"/>
  </si>
  <si>
    <t>置信概率</t>
    <phoneticPr fontId="1" type="noConversion"/>
  </si>
  <si>
    <t>μaD</t>
    <phoneticPr fontId="1" type="noConversion"/>
  </si>
  <si>
    <t>μbD</t>
    <phoneticPr fontId="1" type="noConversion"/>
  </si>
  <si>
    <t>μD</t>
    <phoneticPr fontId="1" type="noConversion"/>
  </si>
  <si>
    <t>置信系数t</t>
    <phoneticPr fontId="1" type="noConversion"/>
  </si>
  <si>
    <t>标准偏差SD</t>
    <phoneticPr fontId="1" type="noConversion"/>
  </si>
  <si>
    <t>n6</t>
  </si>
  <si>
    <t>n7</t>
  </si>
  <si>
    <t>n8</t>
  </si>
  <si>
    <t>n9</t>
  </si>
  <si>
    <t>（2）用环差法，记录每5个砝码时读数的差值</t>
    <phoneticPr fontId="1" type="noConversion"/>
  </si>
  <si>
    <t>读数差|n(i+5)-ni|</t>
    <phoneticPr fontId="1" type="noConversion"/>
  </si>
  <si>
    <t>μa△h</t>
    <phoneticPr fontId="1" type="noConversion"/>
  </si>
  <si>
    <t>μ△h</t>
    <phoneticPr fontId="1" type="noConversion"/>
  </si>
  <si>
    <t>μb△h</t>
    <phoneticPr fontId="1" type="noConversion"/>
  </si>
  <si>
    <t>D平均</t>
    <phoneticPr fontId="1" type="noConversion"/>
  </si>
  <si>
    <t>△h1</t>
    <phoneticPr fontId="1" type="noConversion"/>
  </si>
  <si>
    <t>△h2</t>
    <phoneticPr fontId="1" type="noConversion"/>
  </si>
  <si>
    <t>△h3</t>
    <phoneticPr fontId="1" type="noConversion"/>
  </si>
  <si>
    <t>△h4</t>
    <phoneticPr fontId="1" type="noConversion"/>
  </si>
  <si>
    <t>△h5</t>
    <phoneticPr fontId="1" type="noConversion"/>
  </si>
  <si>
    <t>△h平均</t>
    <phoneticPr fontId="1" type="noConversion"/>
  </si>
  <si>
    <t>μE</t>
    <phoneticPr fontId="1" type="noConversion"/>
  </si>
  <si>
    <t>E平均</t>
    <phoneticPr fontId="1" type="noConversion"/>
  </si>
  <si>
    <t>金属丝直径D/mm</t>
    <phoneticPr fontId="1" type="noConversion"/>
  </si>
  <si>
    <t>金属丝的原长L(cm)=</t>
    <phoneticPr fontId="1" type="noConversion"/>
  </si>
  <si>
    <t>光杠杆长b(cm)=</t>
    <phoneticPr fontId="1" type="noConversion"/>
  </si>
  <si>
    <t>等效砝码质量m(kg)=</t>
    <phoneticPr fontId="1" type="noConversion"/>
  </si>
  <si>
    <t>1.实验参数的测量</t>
    <phoneticPr fontId="1" type="noConversion"/>
  </si>
  <si>
    <t>垂直距离B(cm)=</t>
    <phoneticPr fontId="1" type="noConversion"/>
  </si>
  <si>
    <t>OUTPUT</t>
    <phoneticPr fontId="1" type="noConversion"/>
  </si>
  <si>
    <t>蓝色格子：书上或ppt上给定的数据，一般不需要改</t>
    <phoneticPr fontId="1" type="noConversion"/>
  </si>
  <si>
    <t>0.给定数据</t>
    <phoneticPr fontId="1" type="noConversion"/>
  </si>
  <si>
    <t>ni</t>
    <phoneticPr fontId="1" type="noConversion"/>
  </si>
  <si>
    <t>Di</t>
    <phoneticPr fontId="1" type="noConversion"/>
  </si>
  <si>
    <t>环差次数</t>
    <phoneticPr fontId="1" type="noConversion"/>
  </si>
  <si>
    <t>（3）最终结果</t>
    <phoneticPr fontId="1" type="noConversion"/>
  </si>
  <si>
    <t>黄色格子：自动输出数据</t>
    <phoneticPr fontId="1" type="noConversion"/>
  </si>
  <si>
    <t>杨氏模量E（Pa）=</t>
    <phoneticPr fontId="1" type="noConversion"/>
  </si>
  <si>
    <t>杨氏模量</t>
    <phoneticPr fontId="1" type="noConversion"/>
  </si>
  <si>
    <t>Authored by Axolyz.</t>
    <phoneticPr fontId="1" type="noConversion"/>
  </si>
  <si>
    <t>Licensed by GPL v3.</t>
    <phoneticPr fontId="1" type="noConversion"/>
  </si>
  <si>
    <t>Welcome for stars, issues &amp; contribution.</t>
    <phoneticPr fontId="1" type="noConversion"/>
  </si>
  <si>
    <t>红色格子：填入你的实验数据，如本身自带数据请更改</t>
    <phoneticPr fontId="1" type="noConversion"/>
  </si>
  <si>
    <t>Posted on https://github.com/Axolyz/fuck-nku-physics-experiments.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</si>
</sst>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2" fillId="0" borderId="1"/>
    <xf numFmtId="0" fontId="2" fillId="0" borderId="2" applyNumberFormat="0" applyFont="0" applyFill="0" applyAlignment="0" applyProtection="0"/>
  </cellStyleXfs>
  <cellXfs count="20">
    <xf numFmtId="0" fontId="0" fillId="0" borderId="0" xfId="0"/>
    <xf numFmtId="0" fontId="0" fillId="0" borderId="0" xfId="0" applyProtection="1">
      <protection locked="0"/>
    </xf>
    <xf numFmtId="176" fontId="0" fillId="4" borderId="0" xfId="0" applyNumberFormat="1" applyFill="1" applyProtection="1">
      <protection locked="0"/>
    </xf>
    <xf numFmtId="176" fontId="0" fillId="2" borderId="0" xfId="0" applyNumberFormat="1" applyFill="1" applyProtection="1">
      <protection locked="0"/>
    </xf>
    <xf numFmtId="0" fontId="0" fillId="4" borderId="0" xfId="0" applyFill="1" applyProtection="1">
      <protection locked="0"/>
    </xf>
    <xf numFmtId="0" fontId="2" fillId="0" borderId="2" xfId="2" applyProtection="1">
      <protection locked="0"/>
    </xf>
    <xf numFmtId="0" fontId="2" fillId="2" borderId="2" xfId="2" applyFill="1" applyProtection="1">
      <protection locked="0"/>
    </xf>
    <xf numFmtId="0" fontId="2" fillId="4" borderId="2" xfId="2" applyFill="1" applyProtection="1">
      <protection locked="0"/>
    </xf>
    <xf numFmtId="0" fontId="0" fillId="0" borderId="2" xfId="2" applyFont="1" applyProtection="1">
      <protection locked="0"/>
    </xf>
    <xf numFmtId="0" fontId="0" fillId="0" borderId="2" xfId="2" applyFont="1" applyAlignment="1" applyProtection="1">
      <protection locked="0"/>
    </xf>
    <xf numFmtId="176" fontId="0" fillId="2" borderId="2" xfId="2" applyNumberFormat="1" applyFont="1" applyFill="1" applyAlignme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4" borderId="2" xfId="2" applyFont="1" applyFill="1" applyProtection="1">
      <protection locked="0"/>
    </xf>
    <xf numFmtId="0" fontId="0" fillId="0" borderId="2" xfId="2" applyFont="1" applyFill="1" applyAlignment="1" applyProtection="1">
      <protection locked="0"/>
    </xf>
    <xf numFmtId="0" fontId="3" fillId="0" borderId="0" xfId="0" applyFont="1" applyProtection="1">
      <protection locked="0"/>
    </xf>
    <xf numFmtId="0" fontId="2" fillId="3" borderId="2" xfId="2" applyFill="1" applyProtection="1"/>
    <xf numFmtId="0" fontId="2" fillId="4" borderId="2" xfId="2" applyFill="1" applyProtection="1"/>
    <xf numFmtId="176" fontId="0" fillId="3" borderId="2" xfId="2" applyNumberFormat="1" applyFont="1" applyFill="1" applyProtection="1"/>
    <xf numFmtId="0" fontId="0" fillId="3" borderId="2" xfId="2" applyFont="1" applyFill="1" applyProtection="1"/>
    <xf numFmtId="0" fontId="0" fillId="4" borderId="2" xfId="2" applyFont="1" applyFill="1" applyProtection="1"/>
  </cellXfs>
  <cellStyles count="3">
    <cellStyle name="Normal" xfId="0" builtinId="0"/>
    <cellStyle name="Style 1" xfId="1" xr:uid="{92A3B314-810B-40C8-A7A8-F012C02BADA0}"/>
    <cellStyle name="Style 2" xfId="2" xr:uid="{E7A149ED-2099-4838-A8B7-D926A4712C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Normal="100" workbookViewId="0">
      <selection activeCell="A3" sqref="A3"/>
    </sheetView>
  </sheetViews>
  <sheetFormatPr defaultRowHeight="13.8" x14ac:dyDescent="0.25"/>
  <cols>
    <col min="1" max="1" width="19.77734375" style="1" customWidth="1"/>
    <col min="2" max="2" width="11.88671875" style="1" customWidth="1"/>
    <col min="3" max="3" width="10.6640625" style="1" customWidth="1"/>
    <col min="4" max="4" width="12.21875" style="1" customWidth="1"/>
    <col min="5" max="5" width="12" style="1" customWidth="1"/>
    <col min="6" max="6" width="11.21875" style="1" customWidth="1"/>
    <col min="7" max="7" width="11.109375" style="1" customWidth="1"/>
    <col min="8" max="8" width="11.5546875" style="1" customWidth="1"/>
    <col min="9" max="10" width="10.77734375" style="1" customWidth="1"/>
    <col min="11" max="11" width="10.21875" style="1" customWidth="1"/>
    <col min="12" max="16384" width="8.88671875" style="1"/>
  </cols>
  <sheetData>
    <row r="1" spans="1:9" x14ac:dyDescent="0.25">
      <c r="A1" s="1" t="s">
        <v>60</v>
      </c>
    </row>
    <row r="3" spans="1:9" x14ac:dyDescent="0.25">
      <c r="A3" s="1" t="s">
        <v>64</v>
      </c>
    </row>
    <row r="4" spans="1:9" x14ac:dyDescent="0.25">
      <c r="A4" s="1" t="s">
        <v>52</v>
      </c>
    </row>
    <row r="5" spans="1:9" x14ac:dyDescent="0.25">
      <c r="A5" s="1" t="s">
        <v>58</v>
      </c>
    </row>
    <row r="7" spans="1:9" x14ac:dyDescent="0.25">
      <c r="A7" s="1" t="s">
        <v>53</v>
      </c>
    </row>
    <row r="8" spans="1:9" x14ac:dyDescent="0.25">
      <c r="A8" s="1" t="s">
        <v>48</v>
      </c>
      <c r="B8" s="2">
        <v>1</v>
      </c>
    </row>
    <row r="10" spans="1:9" x14ac:dyDescent="0.25">
      <c r="A10" s="1" t="s">
        <v>49</v>
      </c>
    </row>
    <row r="12" spans="1:9" x14ac:dyDescent="0.25">
      <c r="A12" s="1" t="s">
        <v>50</v>
      </c>
      <c r="B12" s="3">
        <v>1</v>
      </c>
      <c r="C12" s="1" t="s">
        <v>13</v>
      </c>
      <c r="D12" s="4">
        <v>1.6660000000000001E-2</v>
      </c>
    </row>
    <row r="13" spans="1:9" x14ac:dyDescent="0.25">
      <c r="A13" s="1" t="s">
        <v>46</v>
      </c>
      <c r="B13" s="3">
        <v>1</v>
      </c>
      <c r="C13" s="1" t="s">
        <v>12</v>
      </c>
      <c r="D13" s="4">
        <v>1.6660000000000001E-2</v>
      </c>
    </row>
    <row r="14" spans="1:9" x14ac:dyDescent="0.25">
      <c r="A14" s="1" t="s">
        <v>47</v>
      </c>
      <c r="B14" s="3">
        <v>1</v>
      </c>
      <c r="C14" s="1" t="s">
        <v>12</v>
      </c>
      <c r="D14" s="4">
        <v>2E-3</v>
      </c>
    </row>
    <row r="15" spans="1:9" ht="14.4" thickBot="1" x14ac:dyDescent="0.3"/>
    <row r="16" spans="1:9" ht="14.4" thickBot="1" x14ac:dyDescent="0.3">
      <c r="A16" s="5" t="s">
        <v>55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19</v>
      </c>
      <c r="H16" s="5" t="s">
        <v>21</v>
      </c>
      <c r="I16" s="5" t="s">
        <v>20</v>
      </c>
    </row>
    <row r="17" spans="1:11" ht="14.4" thickBot="1" x14ac:dyDescent="0.3">
      <c r="A17" s="5" t="s">
        <v>45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7">
        <v>0.68300000000000005</v>
      </c>
      <c r="I17" s="7">
        <v>6</v>
      </c>
    </row>
    <row r="18" spans="1:11" ht="14.4" thickBot="1" x14ac:dyDescent="0.3">
      <c r="A18" s="5"/>
      <c r="B18" s="5"/>
      <c r="C18" s="5"/>
      <c r="D18" s="5"/>
      <c r="E18" s="5"/>
      <c r="F18" s="5"/>
      <c r="G18" s="5"/>
      <c r="H18" s="5"/>
      <c r="I18" s="5"/>
    </row>
    <row r="19" spans="1:11" ht="14.4" thickBot="1" x14ac:dyDescent="0.3">
      <c r="A19" s="5" t="s">
        <v>51</v>
      </c>
      <c r="B19" s="5" t="s">
        <v>36</v>
      </c>
      <c r="C19" s="5" t="s">
        <v>25</v>
      </c>
      <c r="D19" s="5" t="s">
        <v>26</v>
      </c>
      <c r="E19" s="5" t="s">
        <v>22</v>
      </c>
      <c r="F19" s="5" t="s">
        <v>23</v>
      </c>
      <c r="G19" s="5" t="s">
        <v>24</v>
      </c>
      <c r="H19" s="5"/>
      <c r="I19" s="5"/>
    </row>
    <row r="20" spans="1:11" ht="14.4" thickBot="1" x14ac:dyDescent="0.3">
      <c r="A20" s="5"/>
      <c r="B20" s="15">
        <f>AVERAGE(B17:G17)</f>
        <v>1</v>
      </c>
      <c r="C20" s="15">
        <f>TINV(1-H17,I17-1)</f>
        <v>1.1112993007774183</v>
      </c>
      <c r="D20" s="15">
        <f>_xlfn.STDEV.S(B17:G17)</f>
        <v>0</v>
      </c>
      <c r="E20" s="15">
        <f>C20/SQRT(I17)*D20</f>
        <v>0</v>
      </c>
      <c r="F20" s="16">
        <f>0.001/SQRT(3)</f>
        <v>5.773502691896258E-4</v>
      </c>
      <c r="G20" s="15">
        <f>SQRT(E20^2+F20^2)</f>
        <v>5.773502691896258E-4</v>
      </c>
      <c r="H20" s="5"/>
      <c r="I20" s="5"/>
    </row>
    <row r="22" spans="1:11" x14ac:dyDescent="0.25">
      <c r="A22" s="1" t="s">
        <v>0</v>
      </c>
    </row>
    <row r="23" spans="1:11" ht="14.4" thickBot="1" x14ac:dyDescent="0.3">
      <c r="A23" s="1" t="s">
        <v>1</v>
      </c>
    </row>
    <row r="24" spans="1:11" ht="14.4" thickBot="1" x14ac:dyDescent="0.3">
      <c r="A24" s="8" t="s">
        <v>54</v>
      </c>
      <c r="B24" s="8" t="s">
        <v>3</v>
      </c>
      <c r="C24" s="8" t="s">
        <v>4</v>
      </c>
      <c r="D24" s="8" t="s">
        <v>5</v>
      </c>
      <c r="E24" s="8" t="s">
        <v>6</v>
      </c>
      <c r="F24" s="8" t="s">
        <v>7</v>
      </c>
      <c r="G24" s="8" t="s">
        <v>8</v>
      </c>
      <c r="H24" s="8" t="s">
        <v>27</v>
      </c>
      <c r="I24" s="8" t="s">
        <v>28</v>
      </c>
      <c r="J24" s="8" t="s">
        <v>29</v>
      </c>
      <c r="K24" s="8" t="s">
        <v>30</v>
      </c>
    </row>
    <row r="25" spans="1:11" ht="14.4" thickBot="1" x14ac:dyDescent="0.3">
      <c r="A25" s="9" t="s">
        <v>9</v>
      </c>
      <c r="B25" s="10">
        <v>1</v>
      </c>
      <c r="C25" s="10">
        <v>1</v>
      </c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</row>
    <row r="26" spans="1:11" ht="14.4" thickBot="1" x14ac:dyDescent="0.3">
      <c r="A26" s="8" t="s">
        <v>10</v>
      </c>
      <c r="B26" s="10">
        <v>1</v>
      </c>
      <c r="C26" s="10">
        <v>1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  <c r="J26" s="10">
        <v>1</v>
      </c>
      <c r="K26" s="10">
        <v>1</v>
      </c>
    </row>
    <row r="27" spans="1:11" ht="14.4" thickBot="1" x14ac:dyDescent="0.3">
      <c r="A27" s="8" t="s">
        <v>11</v>
      </c>
      <c r="B27" s="17">
        <f>AVERAGE(B25:B26)</f>
        <v>1</v>
      </c>
      <c r="C27" s="17">
        <f>AVERAGE(C25:C26)</f>
        <v>1</v>
      </c>
      <c r="D27" s="17">
        <f t="shared" ref="D27:I27" si="0">AVERAGE(D25:D26)</f>
        <v>1</v>
      </c>
      <c r="E27" s="17">
        <f t="shared" si="0"/>
        <v>1</v>
      </c>
      <c r="F27" s="17">
        <f t="shared" si="0"/>
        <v>1</v>
      </c>
      <c r="G27" s="17">
        <f t="shared" si="0"/>
        <v>1</v>
      </c>
      <c r="H27" s="17">
        <f t="shared" si="0"/>
        <v>1</v>
      </c>
      <c r="I27" s="17">
        <f t="shared" si="0"/>
        <v>1</v>
      </c>
      <c r="J27" s="17">
        <f>AVERAGE(J25:J26)</f>
        <v>1</v>
      </c>
      <c r="K27" s="17">
        <f>AVERAGE(K25:K26)</f>
        <v>1</v>
      </c>
    </row>
    <row r="29" spans="1:11" ht="14.4" thickBot="1" x14ac:dyDescent="0.3">
      <c r="A29" s="11" t="s">
        <v>31</v>
      </c>
      <c r="B29" s="11"/>
      <c r="C29" s="11"/>
    </row>
    <row r="30" spans="1:11" ht="14.4" thickBot="1" x14ac:dyDescent="0.3">
      <c r="A30" s="8" t="s">
        <v>2</v>
      </c>
      <c r="B30" s="9" t="s">
        <v>37</v>
      </c>
      <c r="C30" s="9" t="s">
        <v>38</v>
      </c>
      <c r="D30" s="9" t="s">
        <v>39</v>
      </c>
      <c r="E30" s="9" t="s">
        <v>40</v>
      </c>
      <c r="F30" s="9" t="s">
        <v>41</v>
      </c>
      <c r="G30" s="9" t="s">
        <v>21</v>
      </c>
      <c r="H30" s="9" t="s">
        <v>56</v>
      </c>
    </row>
    <row r="31" spans="1:11" ht="14.4" thickBot="1" x14ac:dyDescent="0.3">
      <c r="A31" s="8" t="s">
        <v>32</v>
      </c>
      <c r="B31" s="17">
        <f>G27-B27</f>
        <v>0</v>
      </c>
      <c r="C31" s="17">
        <f t="shared" ref="C31:D31" si="1">H27-C27</f>
        <v>0</v>
      </c>
      <c r="D31" s="17">
        <f t="shared" si="1"/>
        <v>0</v>
      </c>
      <c r="E31" s="17">
        <f>J27-E27</f>
        <v>0</v>
      </c>
      <c r="F31" s="17">
        <f>K27-F27</f>
        <v>0</v>
      </c>
      <c r="G31" s="12">
        <v>0.68300000000000005</v>
      </c>
      <c r="H31" s="12">
        <v>5</v>
      </c>
    </row>
    <row r="32" spans="1:11" ht="14.4" thickBot="1" x14ac:dyDescent="0.3">
      <c r="A32" s="8"/>
      <c r="B32" s="8"/>
      <c r="C32" s="8"/>
      <c r="D32" s="8"/>
      <c r="E32" s="8"/>
      <c r="F32" s="8"/>
      <c r="G32" s="8"/>
      <c r="H32" s="8"/>
    </row>
    <row r="33" spans="1:8" ht="14.4" thickBot="1" x14ac:dyDescent="0.3">
      <c r="A33" s="8" t="s">
        <v>51</v>
      </c>
      <c r="B33" s="13" t="s">
        <v>42</v>
      </c>
      <c r="C33" s="9" t="s">
        <v>25</v>
      </c>
      <c r="D33" s="8" t="s">
        <v>26</v>
      </c>
      <c r="E33" s="8" t="s">
        <v>33</v>
      </c>
      <c r="F33" s="8" t="s">
        <v>35</v>
      </c>
      <c r="G33" s="8" t="s">
        <v>34</v>
      </c>
      <c r="H33" s="8"/>
    </row>
    <row r="34" spans="1:8" ht="14.4" thickBot="1" x14ac:dyDescent="0.3">
      <c r="A34" s="8"/>
      <c r="B34" s="17">
        <f>AVERAGE(B31:F31)</f>
        <v>0</v>
      </c>
      <c r="C34" s="18">
        <f>TINV(1-G31,H31-1)</f>
        <v>1.142464978621401</v>
      </c>
      <c r="D34" s="18">
        <f>_xlfn.STDEV.S(B31:F31)</f>
        <v>0</v>
      </c>
      <c r="E34" s="18">
        <f>C34/SQRT(I17)*D34</f>
        <v>0</v>
      </c>
      <c r="F34" s="19">
        <f>0.001/SQRT(3)</f>
        <v>5.773502691896258E-4</v>
      </c>
      <c r="G34" s="18">
        <f>SQRT(E34^2+F34^2)</f>
        <v>5.773502691896258E-4</v>
      </c>
      <c r="H34" s="8"/>
    </row>
    <row r="36" spans="1:8" ht="14.4" thickBot="1" x14ac:dyDescent="0.3">
      <c r="A36" s="1" t="s">
        <v>57</v>
      </c>
    </row>
    <row r="37" spans="1:8" ht="14.4" thickBot="1" x14ac:dyDescent="0.3">
      <c r="A37" s="8" t="s">
        <v>51</v>
      </c>
      <c r="B37" s="8" t="s">
        <v>44</v>
      </c>
      <c r="C37" s="8"/>
      <c r="D37" s="8" t="s">
        <v>43</v>
      </c>
    </row>
    <row r="38" spans="1:8" ht="14.4" thickBot="1" x14ac:dyDescent="0.3">
      <c r="A38" s="8" t="s">
        <v>59</v>
      </c>
      <c r="B38" s="18" t="e">
        <f>(32*5*B8*9.8*B12/100*B13/100)/(3.14*B14/100*(B20/1000)^2*B34/100)</f>
        <v>#DIV/0!</v>
      </c>
      <c r="C38" s="8" t="s">
        <v>13</v>
      </c>
      <c r="D38" s="18" t="e">
        <f>SQRT((G34/B34)^2+(2*G20/B20)^2+(D12/B12)^2+(D13/B13)^2+(D14/B14)^2)*B38</f>
        <v>#DIV/0!</v>
      </c>
    </row>
    <row r="40" spans="1:8" x14ac:dyDescent="0.25">
      <c r="A40" s="1" t="s">
        <v>61</v>
      </c>
    </row>
    <row r="41" spans="1:8" x14ac:dyDescent="0.25">
      <c r="A41" s="1" t="s">
        <v>62</v>
      </c>
    </row>
    <row r="42" spans="1:8" x14ac:dyDescent="0.25">
      <c r="A42" s="1" t="s">
        <v>65</v>
      </c>
    </row>
    <row r="43" spans="1:8" x14ac:dyDescent="0.25">
      <c r="A43" s="1" t="s">
        <v>63</v>
      </c>
    </row>
    <row r="44" spans="1:8" x14ac:dyDescent="0.25">
      <c r="A44" s="14"/>
    </row>
  </sheetData>
  <sheetProtection sheet="1" objects="1" scenarios="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Axolyz</dc:creator>
  <cp:lastModifiedBy>Axolyz Li</cp:lastModifiedBy>
  <dcterms:created xsi:type="dcterms:W3CDTF">2015-06-05T18:19:34Z</dcterms:created>
  <dcterms:modified xsi:type="dcterms:W3CDTF">2024-03-01T04:10:17Z</dcterms:modified>
</cp:coreProperties>
</file>